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rápida" sheetId="1" state="visible" r:id="rId1"/>
    <sheet xmlns:r="http://schemas.openxmlformats.org/officeDocument/2006/relationships" name="Calendario" sheetId="2" state="visible" r:id="rId2"/>
    <sheet xmlns:r="http://schemas.openxmlformats.org/officeDocument/2006/relationships" name="Ideas de Stories" sheetId="3" state="visible" r:id="rId3"/>
  </sheets>
  <definedNames>
    <definedName name="_xlnm._FilterDatabase" localSheetId="1" hidden="1">'Calendario'!$A$1:$N$12</definedName>
    <definedName name="_xlnm._FilterDatabase" localSheetId="2" hidden="1">'Ideas de Stories'!$A$1:$H$13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0"/>
    </font>
    <font>
      <name val="Arial"/>
      <color rgb="00000000"/>
      <sz val="10"/>
    </font>
    <font>
      <name val="Arial"/>
      <b val="1"/>
      <color rgb="00000000"/>
      <sz val="10"/>
    </font>
    <font>
      <name val="Arial"/>
      <b val="1"/>
      <color rgb="001F5F69"/>
      <sz val="10"/>
    </font>
    <font>
      <name val="Arial"/>
      <b val="1"/>
      <color rgb="001B1E1F"/>
      <sz val="22"/>
    </font>
    <font>
      <name val="Arial"/>
      <color rgb="002B7D89"/>
      <sz val="11"/>
    </font>
    <font>
      <name val="Arial"/>
      <color rgb="00666666"/>
      <sz val="10"/>
    </font>
    <font>
      <name val="Arial"/>
      <b val="1"/>
      <color rgb="00FFFFFF"/>
      <sz val="12"/>
    </font>
    <font>
      <name val="Arial"/>
      <b val="1"/>
      <color rgb="00FFFFFF"/>
      <sz val="9"/>
    </font>
    <font>
      <name val="Arial"/>
      <b val="1"/>
      <color rgb="007F6000"/>
      <sz val="10"/>
    </font>
    <font>
      <name val="Arial"/>
      <b val="1"/>
      <color rgb="001F4E79"/>
      <sz val="10"/>
    </font>
    <font>
      <name val="Arial"/>
      <b val="1"/>
      <color rgb="00375623"/>
      <sz val="10"/>
    </font>
    <font>
      <name val="Arial"/>
      <i val="1"/>
      <color rgb="00666666"/>
      <sz val="9"/>
    </font>
    <font>
      <name val="Courier New"/>
      <sz val="10"/>
    </font>
  </fonts>
  <fills count="17">
    <fill>
      <patternFill/>
    </fill>
    <fill>
      <patternFill patternType="gray125"/>
    </fill>
    <fill>
      <patternFill patternType="solid">
        <fgColor rgb="001B1E1F"/>
      </patternFill>
    </fill>
    <fill>
      <patternFill patternType="solid">
        <fgColor rgb="00EFEFEF"/>
      </patternFill>
    </fill>
    <fill>
      <patternFill patternType="solid">
        <fgColor rgb="00FBF7F2"/>
      </patternFill>
    </fill>
    <fill>
      <patternFill patternType="solid">
        <fgColor rgb="00F7D3D6"/>
      </patternFill>
    </fill>
    <fill>
      <patternFill patternType="solid">
        <fgColor rgb="004A4F50"/>
      </patternFill>
    </fill>
    <fill>
      <patternFill patternType="solid">
        <fgColor rgb="00FFF2CC"/>
      </patternFill>
    </fill>
    <fill>
      <patternFill patternType="solid">
        <fgColor rgb="00DDEBF7"/>
      </patternFill>
    </fill>
    <fill>
      <patternFill patternType="solid">
        <fgColor rgb="00E2EFDA"/>
      </patternFill>
    </fill>
    <fill>
      <patternFill patternType="solid">
        <fgColor rgb="00F5F3EE"/>
      </patternFill>
    </fill>
    <fill>
      <patternFill patternType="solid">
        <fgColor rgb="00FAF9F6"/>
      </patternFill>
    </fill>
    <fill>
      <patternFill patternType="solid">
        <fgColor rgb="00EDEAE2"/>
      </patternFill>
    </fill>
    <fill>
      <patternFill patternType="solid">
        <fgColor rgb="002C3132"/>
      </patternFill>
    </fill>
    <fill>
      <patternFill patternType="solid">
        <fgColor rgb="008A8F90"/>
      </patternFill>
    </fill>
    <fill>
      <patternFill patternType="solid">
        <fgColor rgb="002B7D89"/>
      </patternFill>
    </fill>
    <fill>
      <patternFill patternType="solid">
        <fgColor rgb="001F5F69"/>
      </patternFill>
    </fill>
  </fills>
  <borders count="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37">
    <xf numFmtId="0" fontId="0" fillId="0" borderId="0" pivotButton="0" quotePrefix="0" xfId="0"/>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9" fillId="6" borderId="1" applyAlignment="1" pivotButton="0" quotePrefix="0" xfId="0">
      <alignment horizontal="left" vertical="center" indent="1"/>
    </xf>
    <xf numFmtId="0" fontId="10" fillId="7" borderId="1" applyAlignment="1" pivotButton="0" quotePrefix="0" xfId="0">
      <alignment horizontal="left" vertical="center" wrapText="1" indent="1"/>
    </xf>
    <xf numFmtId="0" fontId="3" fillId="0" borderId="1" applyAlignment="1" pivotButton="0" quotePrefix="0" xfId="0">
      <alignment horizontal="center" vertical="center"/>
    </xf>
    <xf numFmtId="9" fontId="2" fillId="0" borderId="1" applyAlignment="1" pivotButton="0" quotePrefix="0" xfId="0">
      <alignment horizontal="center" vertical="center"/>
    </xf>
    <xf numFmtId="0" fontId="2" fillId="0" borderId="1" applyAlignment="1" pivotButton="0" quotePrefix="0" xfId="0">
      <alignment horizontal="left" vertical="center" wrapText="1" indent="1"/>
    </xf>
    <xf numFmtId="0" fontId="11" fillId="8" borderId="1" applyAlignment="1" pivotButton="0" quotePrefix="0" xfId="0">
      <alignment horizontal="left" vertical="center" wrapText="1" indent="1"/>
    </xf>
    <xf numFmtId="0" fontId="12" fillId="9" borderId="1" applyAlignment="1" pivotButton="0" quotePrefix="0" xfId="0">
      <alignment horizontal="left" vertical="center" wrapText="1" indent="1"/>
    </xf>
    <xf numFmtId="0" fontId="3" fillId="0" borderId="1" applyAlignment="1" pivotButton="0" quotePrefix="0" xfId="0">
      <alignment horizontal="left" vertical="center" wrapText="1" indent="1"/>
    </xf>
    <xf numFmtId="9" fontId="3" fillId="0" borderId="1" applyAlignment="1" pivotButton="0" quotePrefix="0" xfId="0">
      <alignment horizontal="center" vertical="center"/>
    </xf>
    <xf numFmtId="0" fontId="13" fillId="0" borderId="0" applyAlignment="1" pivotButton="0" quotePrefix="0" xfId="0">
      <alignment horizontal="left" vertical="center" indent="1"/>
    </xf>
    <xf numFmtId="0" fontId="14" fillId="0" borderId="1" applyAlignment="1" pivotButton="0" quotePrefix="0" xfId="0">
      <alignment horizontal="left" vertical="center" wrapText="1" indent="1"/>
    </xf>
    <xf numFmtId="0" fontId="2" fillId="10" borderId="1" applyAlignment="1" pivotButton="0" quotePrefix="0" xfId="0">
      <alignment horizontal="left" vertical="center" wrapText="1" indent="1"/>
    </xf>
    <xf numFmtId="0" fontId="2" fillId="11" borderId="1" applyAlignment="1" pivotButton="0" quotePrefix="0" xfId="0">
      <alignment horizontal="left" vertical="center" wrapText="1" indent="1"/>
    </xf>
    <xf numFmtId="0" fontId="2" fillId="12" borderId="1" applyAlignment="1" pivotButton="0" quotePrefix="0" xfId="0">
      <alignment horizontal="left" vertical="center" wrapText="1" indent="1"/>
    </xf>
    <xf numFmtId="0" fontId="2" fillId="2" borderId="1" applyAlignment="1" pivotButton="0" quotePrefix="0" xfId="0">
      <alignment horizontal="left" vertical="center" wrapText="1" indent="1"/>
    </xf>
    <xf numFmtId="0" fontId="2" fillId="13" borderId="1" applyAlignment="1" pivotButton="0" quotePrefix="0" xfId="0">
      <alignment horizontal="left" vertical="center" wrapText="1" indent="1"/>
    </xf>
    <xf numFmtId="0" fontId="2" fillId="6" borderId="1" applyAlignment="1" pivotButton="0" quotePrefix="0" xfId="0">
      <alignment horizontal="left" vertical="center" wrapText="1" indent="1"/>
    </xf>
    <xf numFmtId="0" fontId="2" fillId="14" borderId="1" applyAlignment="1" pivotButton="0" quotePrefix="0" xfId="0">
      <alignment horizontal="left" vertical="center" wrapText="1" indent="1"/>
    </xf>
    <xf numFmtId="0" fontId="2" fillId="15" borderId="1" applyAlignment="1" pivotButton="0" quotePrefix="0" xfId="0">
      <alignment horizontal="left" vertical="center" wrapText="1" indent="1"/>
    </xf>
    <xf numFmtId="0" fontId="2" fillId="16" borderId="1" applyAlignment="1" pivotButton="0" quotePrefix="0" xfId="0">
      <alignment horizontal="left" vertical="center" wrapText="1" indent="1"/>
    </xf>
    <xf numFmtId="0" fontId="13" fillId="0" borderId="0" applyAlignment="1" pivotButton="0" quotePrefix="0" xfId="0">
      <alignment horizontal="left" vertical="center" wrapText="1" indent="1"/>
    </xf>
    <xf numFmtId="0" fontId="0" fillId="0" borderId="4"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center" vertical="top" wrapText="1"/>
    </xf>
  </cellXfs>
  <cellStyles count="1">
    <cellStyle name="Normal" xfId="0" builtinId="0" hidden="0"/>
  </cellStyles>
  <dxfs count="3">
    <dxf>
      <font>
        <name val="Arial"/>
        <b val="1"/>
        <color rgb="007F6000"/>
        <sz val="10"/>
      </font>
      <fill>
        <patternFill patternType="solid">
          <bgColor rgb="00FFF2CC"/>
        </patternFill>
      </fill>
    </dxf>
    <dxf>
      <font>
        <name val="Arial"/>
        <b val="1"/>
        <color rgb="001F4E79"/>
        <sz val="10"/>
      </font>
      <fill>
        <patternFill patternType="solid">
          <bgColor rgb="00DDEBF7"/>
        </patternFill>
      </fill>
    </dxf>
    <dxf>
      <font>
        <name val="Arial"/>
        <b val="1"/>
        <color rgb="00375623"/>
        <sz val="10"/>
      </font>
      <fill>
        <patternFill patternType="solid">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B7D89"/>
    <outlinePr summaryBelow="1" summaryRight="1"/>
    <pageSetUpPr fitToPage="1"/>
  </sheetPr>
  <dimension ref="B1:E71"/>
  <sheetViews>
    <sheetView showGridLines="0" zoomScale="100" workbookViewId="0">
      <selection activeCell="A1" sqref="A1"/>
    </sheetView>
  </sheetViews>
  <sheetFormatPr baseColWidth="8" defaultRowHeight="15"/>
  <cols>
    <col width="3" customWidth="1" min="1" max="1"/>
    <col width="26" customWidth="1" min="2" max="2"/>
    <col width="16" customWidth="1" min="3" max="3"/>
    <col width="14" customWidth="1" min="4" max="4"/>
    <col width="62" customWidth="1" min="5" max="5"/>
    <col width="3" customWidth="1" min="6" max="6"/>
  </cols>
  <sheetData>
    <row r="1" ht="34" customHeight="1">
      <c r="B1" s="1" t="inlineStr">
        <is>
          <t>ISOVAL — Arquitectura &amp; Construcción</t>
        </is>
      </c>
    </row>
    <row r="2" ht="20" customHeight="1">
      <c r="B2" s="2" t="inlineStr">
        <is>
          <t>Calendario de contenido · Instagram @isoval.arq</t>
        </is>
      </c>
    </row>
    <row r="3">
      <c r="B3" s="3" t="inlineStr">
        <is>
          <t>19 de agosto – 9 de septiembre de 2026 · 11 posts · 3 por semana</t>
        </is>
      </c>
    </row>
    <row r="5" ht="24" customHeight="1">
      <c r="B5" s="4" t="inlineStr">
        <is>
          <t>AVANCE DEL PLAN</t>
        </is>
      </c>
      <c r="C5" s="5" t="n"/>
      <c r="D5" s="5" t="n"/>
      <c r="E5" s="5" t="n"/>
    </row>
    <row r="6" ht="20" customHeight="1">
      <c r="B6" s="6" t="inlineStr">
        <is>
          <t>Estado</t>
        </is>
      </c>
      <c r="C6" s="6" t="inlineStr">
        <is>
          <t>Posts</t>
        </is>
      </c>
      <c r="D6" s="6" t="inlineStr">
        <is>
          <t>% del plan</t>
        </is>
      </c>
      <c r="E6" s="6" t="inlineStr">
        <is>
          <t>Qué significa</t>
        </is>
      </c>
    </row>
    <row r="7" ht="18" customHeight="1">
      <c r="B7" s="7" t="inlineStr">
        <is>
          <t>Pendiente</t>
        </is>
      </c>
      <c r="C7" s="8">
        <f>COUNTIF(Calendario!$M$2:$M$12,"Pendiente")</f>
        <v>11</v>
      </c>
      <c r="D7" s="9">
        <f>IFERROR(COUNTIF(Calendario!$M$2:$M$12,"Pendiente")/11,0)</f>
        <v>1</v>
      </c>
      <c r="E7" s="10" t="inlineStr">
        <is>
          <t>Todavía no está armado ni programado.</t>
        </is>
      </c>
    </row>
    <row r="8" ht="18" customHeight="1">
      <c r="B8" s="11" t="inlineStr">
        <is>
          <t>Programado</t>
        </is>
      </c>
      <c r="C8" s="8">
        <f>COUNTIF(Calendario!$M$2:$M$12,"Programado")</f>
        <v>0</v>
      </c>
      <c r="D8" s="9">
        <f>IFERROR(COUNTIF(Calendario!$M$2:$M$12,"Programado")/11,0)</f>
        <v>0</v>
      </c>
      <c r="E8" s="10" t="inlineStr">
        <is>
          <t>Ya está cargado en Meta Business Suite con fecha y hora.</t>
        </is>
      </c>
    </row>
    <row r="9" ht="18" customHeight="1">
      <c r="B9" s="12" t="inlineStr">
        <is>
          <t>Publicado</t>
        </is>
      </c>
      <c r="C9" s="8">
        <f>COUNTIF(Calendario!$M$2:$M$12,"Publicado")</f>
        <v>0</v>
      </c>
      <c r="D9" s="9">
        <f>IFERROR(COUNTIF(Calendario!$M$2:$M$12,"Publicado")/11,0)</f>
        <v>0</v>
      </c>
      <c r="E9" s="10" t="inlineStr">
        <is>
          <t>Ya salió al aire.</t>
        </is>
      </c>
    </row>
    <row r="10" ht="18" customHeight="1">
      <c r="B10" s="13" t="inlineStr">
        <is>
          <t>TOTAL</t>
        </is>
      </c>
      <c r="C10" s="8" t="n">
        <v>11</v>
      </c>
      <c r="D10" s="14" t="n">
        <v>1</v>
      </c>
      <c r="E10" s="10" t="inlineStr">
        <is>
          <t>Posts totales del periodo.</t>
        </is>
      </c>
    </row>
    <row r="11">
      <c r="B11" s="15" t="inlineStr">
        <is>
          <t>Los conteos se actualizan solos conforme cambias la columna Estado en la pestaña Calendario.</t>
        </is>
      </c>
    </row>
    <row r="13" ht="24" customHeight="1">
      <c r="B13" s="4" t="inlineStr">
        <is>
          <t>PALETA DE MARCA</t>
        </is>
      </c>
      <c r="C13" s="5" t="n"/>
      <c r="D13" s="5" t="n"/>
      <c r="E13" s="5" t="n"/>
    </row>
    <row r="14" ht="20" customHeight="1">
      <c r="B14" s="6" t="inlineStr">
        <is>
          <t>Color</t>
        </is>
      </c>
      <c r="C14" s="6" t="inlineStr">
        <is>
          <t>HEX</t>
        </is>
      </c>
      <c r="D14" s="6" t="inlineStr">
        <is>
          <t>Muestra</t>
        </is>
      </c>
      <c r="E14" s="6" t="inlineStr">
        <is>
          <t>Dónde se usa</t>
        </is>
      </c>
    </row>
    <row r="15" ht="18" customHeight="1">
      <c r="B15" s="13" t="inlineStr">
        <is>
          <t>Hueso (fondo)</t>
        </is>
      </c>
      <c r="C15" s="16" t="inlineStr">
        <is>
          <t>#F5F3EE</t>
        </is>
      </c>
      <c r="D15" s="17" t="inlineStr"/>
      <c r="E15" s="10" t="inlineStr">
        <is>
          <t>Fondo principal de piezas y stories.</t>
        </is>
      </c>
    </row>
    <row r="16" ht="18" customHeight="1">
      <c r="B16" s="13" t="inlineStr">
        <is>
          <t>Hueso tarjeta</t>
        </is>
      </c>
      <c r="C16" s="16" t="inlineStr">
        <is>
          <t>#FAF9F6</t>
        </is>
      </c>
      <c r="D16" s="18" t="inlineStr"/>
      <c r="E16" s="10" t="inlineStr">
        <is>
          <t>Tarjetas y bloques dentro de un fondo hueso.</t>
        </is>
      </c>
    </row>
    <row r="17" ht="18" customHeight="1">
      <c r="B17" s="13" t="inlineStr">
        <is>
          <t>Hueso oscuro</t>
        </is>
      </c>
      <c r="C17" s="16" t="inlineStr">
        <is>
          <t>#EDEAE2</t>
        </is>
      </c>
      <c r="D17" s="19" t="inlineStr"/>
      <c r="E17" s="10" t="inlineStr">
        <is>
          <t>Separadores y sombras suaves.</t>
        </is>
      </c>
    </row>
    <row r="18" ht="18" customHeight="1">
      <c r="B18" s="13" t="inlineStr">
        <is>
          <t>Ink</t>
        </is>
      </c>
      <c r="C18" s="16" t="inlineStr">
        <is>
          <t>#1B1E1F</t>
        </is>
      </c>
      <c r="D18" s="20" t="inlineStr"/>
      <c r="E18" s="10" t="inlineStr">
        <is>
          <t>Texto principal y fondos oscuros. Nunca negro puro.</t>
        </is>
      </c>
    </row>
    <row r="19" ht="18" customHeight="1">
      <c r="B19" s="13" t="inlineStr">
        <is>
          <t>Ink secciones</t>
        </is>
      </c>
      <c r="C19" s="16" t="inlineStr">
        <is>
          <t>#2C3132</t>
        </is>
      </c>
      <c r="D19" s="21" t="inlineStr"/>
      <c r="E19" s="10" t="inlineStr">
        <is>
          <t>Franjas y bloques oscuros secundarios.</t>
        </is>
      </c>
    </row>
    <row r="20" ht="18" customHeight="1">
      <c r="B20" s="13" t="inlineStr">
        <is>
          <t>Tinta media</t>
        </is>
      </c>
      <c r="C20" s="16" t="inlineStr">
        <is>
          <t>#4A4F50</t>
        </is>
      </c>
      <c r="D20" s="22" t="inlineStr"/>
      <c r="E20" s="10" t="inlineStr">
        <is>
          <t>Texto secundario, pies de foto.</t>
        </is>
      </c>
    </row>
    <row r="21" ht="18" customHeight="1">
      <c r="B21" s="13" t="inlineStr">
        <is>
          <t>Tinta tenue</t>
        </is>
      </c>
      <c r="C21" s="16" t="inlineStr">
        <is>
          <t>#8A8F90</t>
        </is>
      </c>
      <c r="D21" s="23" t="inlineStr"/>
      <c r="E21" s="10" t="inlineStr">
        <is>
          <t>Texto atenuado, marcas de agua.</t>
        </is>
      </c>
    </row>
    <row r="22" ht="18" customHeight="1">
      <c r="B22" s="13" t="inlineStr">
        <is>
          <t>Teal Isoval</t>
        </is>
      </c>
      <c r="C22" s="16" t="inlineStr">
        <is>
          <t>#2B7D89</t>
        </is>
      </c>
      <c r="D22" s="24" t="inlineStr"/>
      <c r="E22" s="10" t="inlineStr">
        <is>
          <t>Acento de marca. Solo CTA, subrayados, viñetas y rótulos.</t>
        </is>
      </c>
    </row>
    <row r="23" ht="18" customHeight="1">
      <c r="B23" s="13" t="inlineStr">
        <is>
          <t>Teal profundo</t>
        </is>
      </c>
      <c r="C23" s="16" t="inlineStr">
        <is>
          <t>#1F5F69</t>
        </is>
      </c>
      <c r="D23" s="25" t="inlineStr"/>
      <c r="E23" s="10" t="inlineStr">
        <is>
          <t>Bordes del acento y estados presionados.</t>
        </is>
      </c>
    </row>
    <row r="24" ht="28" customHeight="1">
      <c r="B24" s="26" t="inlineStr">
        <is>
          <t>Regla de oro: el teal nunca pasa del 10% de la pieza. Es acento, no fondo. Los tres hex base (hueso #F5F3EE / teal #2B7D89 / ink #1B1E1F) son los del manual de marca de ISOVAL; el resto son derivados para dar jerarquía.</t>
        </is>
      </c>
    </row>
    <row r="26" ht="24" customHeight="1">
      <c r="B26" s="4" t="inlineStr">
        <is>
          <t>LOGO</t>
        </is>
      </c>
      <c r="C26" s="5" t="n"/>
      <c r="D26" s="5" t="n"/>
      <c r="E26" s="5" t="n"/>
    </row>
    <row r="27" ht="20" customHeight="1">
      <c r="B27" s="6" t="inlineStr">
        <is>
          <t>Punto</t>
        </is>
      </c>
      <c r="C27" s="6" t="inlineStr"/>
      <c r="D27" s="6" t="inlineStr"/>
      <c r="E27" s="6" t="inlineStr">
        <is>
          <t>Regla</t>
        </is>
      </c>
    </row>
    <row r="28" ht="26" customHeight="1">
      <c r="B28" s="13" t="inlineStr">
        <is>
          <t>Archivo</t>
        </is>
      </c>
      <c r="C28" s="10" t="inlineStr"/>
      <c r="D28" s="27" t="n"/>
      <c r="E28" s="10" t="inlineStr">
        <is>
          <t>imgs/logo.png en este repositorio (120×120 px). Para impresión o piezas grandes, pedir el vectorial.</t>
        </is>
      </c>
    </row>
    <row r="29" ht="26" customHeight="1">
      <c r="B29" s="13" t="inlineStr">
        <is>
          <t>Espacio libre</t>
        </is>
      </c>
      <c r="C29" s="10" t="inlineStr"/>
      <c r="D29" s="27" t="n"/>
      <c r="E29" s="10" t="inlineStr">
        <is>
          <t>Deja alrededor del logo un margen mínimo igual a la altura de su letra más grande. Nada se mete en ese margen.</t>
        </is>
      </c>
    </row>
    <row r="30" ht="26" customHeight="1">
      <c r="B30" s="13" t="inlineStr">
        <is>
          <t>Sobre fondo claro</t>
        </is>
      </c>
      <c r="C30" s="10" t="inlineStr"/>
      <c r="D30" s="27" t="n"/>
      <c r="E30" s="10" t="inlineStr">
        <is>
          <t>Logo en su versión a color sobre hueso #F5F3EE. Es la combinación por defecto.</t>
        </is>
      </c>
    </row>
    <row r="31" ht="26" customHeight="1">
      <c r="B31" s="13" t="inlineStr">
        <is>
          <t>Sobre fondo oscuro</t>
        </is>
      </c>
      <c r="C31" s="10" t="inlineStr"/>
      <c r="D31" s="27" t="n"/>
      <c r="E31" s="10" t="inlineStr">
        <is>
          <t>Versión en hueso o blanco sobre ink #1B1E1F. No poner el logo a color sobre ink.</t>
        </is>
      </c>
    </row>
    <row r="32" ht="26" customHeight="1">
      <c r="B32" s="13" t="inlineStr">
        <is>
          <t>Prohibido</t>
        </is>
      </c>
      <c r="C32" s="10" t="inlineStr"/>
      <c r="D32" s="27" t="n"/>
      <c r="E32" s="10" t="inlineStr">
        <is>
          <t>No estirarlo, no rotarlo, no cambiarle el color, no ponerle sombra y no montarlo sobre una foto con detalle.</t>
        </is>
      </c>
    </row>
    <row r="33" ht="26" customHeight="1">
      <c r="B33" s="13" t="inlineStr">
        <is>
          <t>Dónde va</t>
        </is>
      </c>
      <c r="C33" s="10" t="inlineStr"/>
      <c r="D33" s="27" t="n"/>
      <c r="E33" s="10" t="inlineStr">
        <is>
          <t>Esquina inferior izquierda en posts; esquina superior izquierda en stories, fuera de la zona que tapa la interfaz de Instagram.</t>
        </is>
      </c>
    </row>
    <row r="35" ht="24" customHeight="1">
      <c r="B35" s="4" t="inlineStr">
        <is>
          <t>CADENCIA DE PUBLICACIÓN</t>
        </is>
      </c>
      <c r="C35" s="5" t="n"/>
      <c r="D35" s="5" t="n"/>
      <c r="E35" s="5" t="n"/>
    </row>
    <row r="36" ht="20" customHeight="1">
      <c r="B36" s="6" t="inlineStr">
        <is>
          <t>Concepto</t>
        </is>
      </c>
      <c r="C36" s="6" t="inlineStr"/>
      <c r="D36" s="6" t="inlineStr"/>
      <c r="E36" s="6" t="inlineStr">
        <is>
          <t>Detalle</t>
        </is>
      </c>
    </row>
    <row r="37" ht="26" customHeight="1">
      <c r="B37" s="13" t="inlineStr">
        <is>
          <t>Ritmo</t>
        </is>
      </c>
      <c r="C37" s="10" t="inlineStr"/>
      <c r="D37" s="27" t="n"/>
      <c r="E37" s="10" t="inlineStr">
        <is>
          <t>3 posts por semana. La última semana lleva 2 porque el periodo cierra el 9 de septiembre.</t>
        </is>
      </c>
    </row>
    <row r="38" ht="26" customHeight="1">
      <c r="B38" s="13" t="inlineStr">
        <is>
          <t>Días fijos</t>
        </is>
      </c>
      <c r="C38" s="10" t="inlineStr"/>
      <c r="D38" s="27" t="n"/>
      <c r="E38" s="10" t="inlineStr">
        <is>
          <t>Miércoles, viernes y domingo. Semana 4: lunes y miércoles.</t>
        </is>
      </c>
    </row>
    <row r="39" ht="26" customHeight="1">
      <c r="B39" s="13" t="inlineStr">
        <is>
          <t>Horarios</t>
        </is>
      </c>
      <c r="C39" s="10" t="inlineStr"/>
      <c r="D39" s="27" t="n"/>
      <c r="E39" s="10" t="inlineStr">
        <is>
          <t>Miércoles y viernes 19:00 h. Domingo 12:00 h. Hora de Tepic.</t>
        </is>
      </c>
    </row>
    <row r="40" ht="26" customHeight="1">
      <c r="B40" s="13" t="inlineStr">
        <is>
          <t>Estructura semanal</t>
        </is>
      </c>
      <c r="C40" s="10" t="inlineStr"/>
      <c r="D40" s="27" t="n"/>
      <c r="E40" s="10" t="inlineStr">
        <is>
          <t>Cada semana lleva al menos 1 post de valor y termina en 1 oferta directa. El valor construye audiencia; la oferta convierte.</t>
        </is>
      </c>
    </row>
    <row r="41" ht="26" customHeight="1">
      <c r="B41" s="13" t="inlineStr">
        <is>
          <t>Stories</t>
        </is>
      </c>
      <c r="C41" s="10" t="inlineStr"/>
      <c r="D41" s="27" t="n"/>
      <c r="E41" s="10" t="inlineStr">
        <is>
          <t>Mínimo 3 días con stories por semana. Hay 12 ideas listas para usar.</t>
        </is>
      </c>
    </row>
    <row r="42" ht="26" customHeight="1">
      <c r="B42" s="13" t="inlineStr">
        <is>
          <t>Semana 1</t>
        </is>
      </c>
      <c r="C42" s="10" t="inlineStr"/>
      <c r="D42" s="27" t="n"/>
      <c r="E42" s="10" t="inlineStr">
        <is>
          <t>Marcada URGENTE: los 3 posts usan imágenes de Midjourney ya generadas. Solo generar, exportar y subir.</t>
        </is>
      </c>
    </row>
    <row r="44" ht="24" customHeight="1">
      <c r="B44" s="4" t="inlineStr">
        <is>
          <t>CÓMO USAR ESTE ARCHIVO</t>
        </is>
      </c>
      <c r="C44" s="5" t="n"/>
      <c r="D44" s="5" t="n"/>
      <c r="E44" s="5" t="n"/>
    </row>
    <row r="45" ht="20" customHeight="1">
      <c r="B45" s="6" t="inlineStr">
        <is>
          <t>Columna / paso</t>
        </is>
      </c>
      <c r="C45" s="6" t="inlineStr"/>
      <c r="D45" s="6" t="inlineStr"/>
      <c r="E45" s="6" t="inlineStr">
        <is>
          <t>Qué hacer</t>
        </is>
      </c>
    </row>
    <row r="46" ht="30" customHeight="1">
      <c r="B46" s="13" t="inlineStr">
        <is>
          <t>Estado (columna M)</t>
        </is>
      </c>
      <c r="C46" s="10" t="inlineStr"/>
      <c r="D46" s="27" t="n"/>
      <c r="E46" s="10" t="inlineStr">
        <is>
          <t>ES LA ÚNICA COLUMNA QUE TIENES QUE TOCAR. Menú desplegable con Pendiente / Programado / Publicado. Se pinta sola de amarillo, azul o verde.</t>
        </is>
      </c>
    </row>
    <row r="47" ht="30" customHeight="1">
      <c r="B47" s="13" t="inlineStr">
        <is>
          <t>Notas (columna N)</t>
        </is>
      </c>
      <c r="C47" s="10" t="inlineStr"/>
      <c r="D47" s="27" t="n"/>
      <c r="E47" s="10" t="inlineStr">
        <is>
          <t>Escribe aquí lo que cambie: fecha movida, foto que faltó, resultado del post.</t>
        </is>
      </c>
    </row>
    <row r="48" ht="30" customHeight="1">
      <c r="B48" s="13" t="inlineStr">
        <is>
          <t>Copy sugerido (I)</t>
        </is>
      </c>
      <c r="C48" s="10" t="inlineStr"/>
      <c r="D48" s="27" t="n"/>
      <c r="E48" s="10" t="inlineStr">
        <is>
          <t>Listo para copiar y pegar en Instagram. Ajusta el tono si quieres, pero no quites el CTA.</t>
        </is>
      </c>
    </row>
    <row r="49" ht="30" customHeight="1">
      <c r="B49" s="13" t="inlineStr">
        <is>
          <t>Imagen / Prompt (L)</t>
        </is>
      </c>
      <c r="C49" s="10" t="inlineStr"/>
      <c r="D49" s="27" t="n"/>
      <c r="E49" s="10" t="inlineStr">
        <is>
          <t>Dice exactamente qué imagen va y cómo conseguirla: prompt de Midjourney, foto real o instrucción de diseño.</t>
        </is>
      </c>
    </row>
    <row r="50" ht="30" customHeight="1">
      <c r="B50" s="13" t="inlineStr">
        <is>
          <t>Filtros</t>
        </is>
      </c>
      <c r="C50" s="10" t="inlineStr"/>
      <c r="D50" s="27" t="n"/>
      <c r="E50" s="10" t="inlineStr">
        <is>
          <t>La fila de encabezados tiene filtros. Filtra por Semana para ver solo lo de la semana, o por Tipo para ver solo las ofertas directas.</t>
        </is>
      </c>
    </row>
    <row r="51" ht="30" customHeight="1">
      <c r="B51" s="13" t="inlineStr">
        <is>
          <t>Avance</t>
        </is>
      </c>
      <c r="C51" s="10" t="inlineStr"/>
      <c r="D51" s="27" t="n"/>
      <c r="E51" s="10" t="inlineStr">
        <is>
          <t>El bloque «Avance del plan» de arriba se actualiza solo conforme mueves la columna Estado.</t>
        </is>
      </c>
    </row>
    <row r="53" ht="24" customHeight="1">
      <c r="B53" s="4" t="inlineStr">
        <is>
          <t>REGLAS DE CONTENIDO</t>
        </is>
      </c>
      <c r="C53" s="5" t="n"/>
      <c r="D53" s="5" t="n"/>
      <c r="E53" s="5" t="n"/>
    </row>
    <row r="54" ht="20" customHeight="1">
      <c r="B54" s="6" t="inlineStr">
        <is>
          <t>Regla</t>
        </is>
      </c>
      <c r="C54" s="6" t="inlineStr"/>
      <c r="D54" s="6" t="inlineStr"/>
      <c r="E54" s="6" t="inlineStr">
        <is>
          <t>Detalle</t>
        </is>
      </c>
    </row>
    <row r="55" ht="30" customHeight="1">
      <c r="B55" s="13" t="inlineStr">
        <is>
          <t>Valor y oferta</t>
        </is>
      </c>
      <c r="C55" s="10" t="inlineStr"/>
      <c r="D55" s="27" t="n"/>
      <c r="E55" s="10" t="inlineStr">
        <is>
          <t>Nunca dos ofertas directas seguidas. Entre oferta y oferta van al menos dos posts de valor — si no, el alcance se cae.</t>
        </is>
      </c>
    </row>
    <row r="56" ht="30" customHeight="1">
      <c r="B56" s="13" t="inlineStr">
        <is>
          <t>Un CTA por pieza</t>
        </is>
      </c>
      <c r="C56" s="10" t="inlineStr"/>
      <c r="D56" s="27" t="n"/>
      <c r="E56" s="10" t="inlineStr">
        <is>
          <t>Un solo llamado a la acción por post. Dos CTA equivalen a ninguno.</t>
        </is>
      </c>
    </row>
    <row r="57" ht="30" customHeight="1">
      <c r="B57" s="13" t="inlineStr">
        <is>
          <t>WhatsApp visible</t>
        </is>
      </c>
      <c r="C57" s="10" t="inlineStr"/>
      <c r="D57" s="27" t="n"/>
      <c r="E57" s="10" t="inlineStr">
        <is>
          <t>En cada oferta directa el número 311 161 4155 va escrito en la imagen, no solo en el copy. La gente no copia números del texto.</t>
        </is>
      </c>
    </row>
    <row r="58" ht="30" customHeight="1">
      <c r="B58" s="13" t="inlineStr">
        <is>
          <t>Primera línea</t>
        </is>
      </c>
      <c r="C58" s="10" t="inlineStr"/>
      <c r="D58" s="27" t="n"/>
      <c r="E58" s="10" t="inlineStr">
        <is>
          <t>Las primeras dos líneas del copy son las únicas que se ven sin dar «más». Ahí va el gancho, no el saludo.</t>
        </is>
      </c>
    </row>
    <row r="59" ht="30" customHeight="1">
      <c r="B59" s="13" t="inlineStr">
        <is>
          <t>Hashtags</t>
        </is>
      </c>
      <c r="C59" s="10" t="inlineStr"/>
      <c r="D59" s="27" t="n"/>
      <c r="E59" s="10" t="inlineStr">
        <is>
          <t>Entre 6 y 10, mezclando locales (#Tepic #Nayarit) y de categoría (#ArquitecturaMexicana). Van en el copy, no en comentario.</t>
        </is>
      </c>
    </row>
    <row r="60" ht="30" customHeight="1">
      <c r="B60" s="13" t="inlineStr">
        <is>
          <t>Responder</t>
        </is>
      </c>
      <c r="C60" s="10" t="inlineStr"/>
      <c r="D60" s="27" t="n"/>
      <c r="E60" s="10" t="inlineStr">
        <is>
          <t>Contesta todos los comentarios de la primera hora. Instagram mide eso y es lo que decide si el post sigue creciendo.</t>
        </is>
      </c>
    </row>
    <row r="61" ht="30" customHeight="1">
      <c r="B61" s="13" t="inlineStr">
        <is>
          <t>Guardar y compartir</t>
        </is>
      </c>
      <c r="C61" s="10" t="inlineStr"/>
      <c r="D61" s="27" t="n"/>
      <c r="E61" s="10" t="inlineStr">
        <is>
          <t>Los posts educativos (#2, #4, #5, #8) son los que se guardan. Pide explícitamente «guarda este post» en ellos.</t>
        </is>
      </c>
    </row>
    <row r="63" ht="24" customHeight="1">
      <c r="B63" s="4" t="inlineStr">
        <is>
          <t>SUPUESTOS Y DATOS A CONFIRMAR</t>
        </is>
      </c>
      <c r="C63" s="5" t="n"/>
      <c r="D63" s="5" t="n"/>
      <c r="E63" s="5" t="n"/>
    </row>
    <row r="64" ht="20" customHeight="1">
      <c r="B64" s="6" t="inlineStr">
        <is>
          <t>Dato</t>
        </is>
      </c>
      <c r="C64" s="6" t="inlineStr"/>
      <c r="D64" s="6" t="inlineStr"/>
      <c r="E64" s="6" t="inlineStr">
        <is>
          <t>Nota</t>
        </is>
      </c>
    </row>
    <row r="65" ht="30" customHeight="1">
      <c r="B65" s="13" t="inlineStr">
        <is>
          <t>Nombre de la cuenta</t>
        </is>
      </c>
      <c r="C65" s="10" t="inlineStr"/>
      <c r="D65" s="27" t="n"/>
      <c r="E65" s="10" t="inlineStr">
        <is>
          <t>Se usa «Isoval — Arquitectura &amp; Construcción» y @isoval.arq. Ojo: el sitio y el logo del repositorio (index.html, imgs/logo.png) están a nombre de LAB A+A y con otra paleta. Si la cuenta de Instagram ya opera como LAB A+A, cambia el nombre en los copys.</t>
        </is>
      </c>
    </row>
    <row r="66" ht="30" customHeight="1">
      <c r="B66" s="13" t="inlineStr">
        <is>
          <t>WhatsApp</t>
        </is>
      </c>
      <c r="C66" s="10" t="inlineStr"/>
      <c r="D66" s="27" t="n"/>
      <c r="E66" s="10" t="inlineStr">
        <is>
          <t>Se usa 311 161 4155, el número que aparece en el perfil de Isoval. Confírmalo antes de publicar: va impreso en varias piezas.</t>
        </is>
      </c>
    </row>
    <row r="67" ht="30" customHeight="1">
      <c r="B67" s="13" t="inlineStr">
        <is>
          <t>Prompts de Midjourney</t>
        </is>
      </c>
      <c r="C67" s="10" t="inlineStr"/>
      <c r="D67" s="27" t="n"/>
      <c r="E67" s="10" t="inlineStr">
        <is>
          <t>Los tres prompts de Semana 1 están escritos completos como respaldo. Si conservas los originales que ya generaste, usa esos — el resultado ya está aprobado.</t>
        </is>
      </c>
    </row>
    <row r="68" ht="30" customHeight="1">
      <c r="B68" s="13" t="inlineStr">
        <is>
          <t>Carrusel «5 Pasos»</t>
        </is>
      </c>
      <c r="C68" s="10" t="inlineStr"/>
      <c r="D68" s="27" t="n"/>
      <c r="E68" s="10" t="inlineStr">
        <is>
          <t>Se relanza el que ya existe. Solo se cambian portada y lámina de cierre; las láminas 2–5 quedan igual.</t>
        </is>
      </c>
    </row>
    <row r="69" ht="30" customHeight="1">
      <c r="B69" s="13" t="inlineStr">
        <is>
          <t>Precios por m²</t>
        </is>
      </c>
      <c r="C69" s="10" t="inlineStr"/>
      <c r="D69" s="27" t="n"/>
      <c r="E69" s="10" t="inlineStr">
        <is>
          <t>Los rangos de $10,000–$18,000 por m² del post #5 vienen del sitio web. Si cambiaron, actualízalos antes de publicar.</t>
        </is>
      </c>
    </row>
    <row r="70" ht="30" customHeight="1">
      <c r="B70" s="13" t="inlineStr">
        <is>
          <t>Fotos reales</t>
        </is>
      </c>
      <c r="C70" s="10" t="inlineStr"/>
      <c r="D70" s="27" t="n"/>
      <c r="E70" s="10" t="inlineStr">
        <is>
          <t>Los posts #7 y #10 piden foto real de proyecto y de cliente. Si no las hay, la nota de cada fila dice con qué sustituirlas.</t>
        </is>
      </c>
    </row>
    <row r="71" ht="30" customHeight="1">
      <c r="B71" s="13" t="inlineStr">
        <is>
          <t>Año</t>
        </is>
      </c>
      <c r="C71" s="10" t="inlineStr"/>
      <c r="D71" s="27" t="n"/>
      <c r="E71" s="10" t="inlineStr">
        <is>
          <t>El calendario está armado sobre 2026: el 19 de agosto cae miércoles y el 9 de septiembre, miércoles.</t>
        </is>
      </c>
    </row>
  </sheetData>
  <mergeCells count="44">
    <mergeCell ref="C30:D30"/>
    <mergeCell ref="C68:D68"/>
    <mergeCell ref="C33:D33"/>
    <mergeCell ref="C42:D42"/>
    <mergeCell ref="C58:D58"/>
    <mergeCell ref="B24:E24"/>
    <mergeCell ref="B5:E5"/>
    <mergeCell ref="B63:E63"/>
    <mergeCell ref="B26:E26"/>
    <mergeCell ref="C29:D29"/>
    <mergeCell ref="B35:E35"/>
    <mergeCell ref="C47:D47"/>
    <mergeCell ref="C65:D65"/>
    <mergeCell ref="C41:D41"/>
    <mergeCell ref="C55:D55"/>
    <mergeCell ref="C50:D50"/>
    <mergeCell ref="B3:E3"/>
    <mergeCell ref="C40:D40"/>
    <mergeCell ref="C31:D31"/>
    <mergeCell ref="C56:D56"/>
    <mergeCell ref="C59:D59"/>
    <mergeCell ref="C46:D46"/>
    <mergeCell ref="C60:D60"/>
    <mergeCell ref="C51:D51"/>
    <mergeCell ref="C71:D71"/>
    <mergeCell ref="B11:E11"/>
    <mergeCell ref="C61:D61"/>
    <mergeCell ref="B2:E2"/>
    <mergeCell ref="C70:D70"/>
    <mergeCell ref="C48:D48"/>
    <mergeCell ref="C39:D39"/>
    <mergeCell ref="B1:E1"/>
    <mergeCell ref="C32:D32"/>
    <mergeCell ref="C38:D38"/>
    <mergeCell ref="B53:E53"/>
    <mergeCell ref="C67:D67"/>
    <mergeCell ref="B13:E13"/>
    <mergeCell ref="B44:E44"/>
    <mergeCell ref="C37:D37"/>
    <mergeCell ref="C57:D57"/>
    <mergeCell ref="C28:D28"/>
    <mergeCell ref="C66:D66"/>
    <mergeCell ref="C69:D69"/>
    <mergeCell ref="C49:D49"/>
  </mergeCells>
  <pageMargins left="0.75" right="0.75" top="1" bottom="1" header="0.5" footer="0.5"/>
  <pageSetup fitToWidth="1"/>
</worksheet>
</file>

<file path=xl/worksheets/sheet2.xml><?xml version="1.0" encoding="utf-8"?>
<worksheet xmlns="http://schemas.openxmlformats.org/spreadsheetml/2006/main">
  <sheetPr>
    <tabColor rgb="002B7D89"/>
    <outlinePr summaryBelow="1" summaryRight="1"/>
    <pageSetUpPr fitToPage="1"/>
  </sheetPr>
  <dimension ref="A1:N12"/>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2" customWidth="1" min="4" max="4"/>
    <col width="9" customWidth="1" min="5" max="5"/>
    <col width="15" customWidth="1" min="6" max="6"/>
    <col width="14" customWidth="1" min="7" max="7"/>
    <col width="26" customWidth="1" min="8" max="8"/>
    <col width="66" customWidth="1" min="9" max="9"/>
    <col width="34" customWidth="1" min="10" max="10"/>
    <col width="28" customWidth="1" min="11" max="11"/>
    <col width="60" customWidth="1" min="12" max="12"/>
    <col width="13" customWidth="1" min="13" max="13"/>
    <col width="30" customWidth="1" min="14" max="14"/>
  </cols>
  <sheetData>
    <row r="1" ht="32" customHeight="1">
      <c r="A1" s="28" t="inlineStr">
        <is>
          <t>#</t>
        </is>
      </c>
      <c r="B1" s="28" t="inlineStr">
        <is>
          <t>Semana</t>
        </is>
      </c>
      <c r="C1" s="28" t="inlineStr">
        <is>
          <t>Fecha</t>
        </is>
      </c>
      <c r="D1" s="28" t="inlineStr">
        <is>
          <t>Día</t>
        </is>
      </c>
      <c r="E1" s="28" t="inlineStr">
        <is>
          <t>Hora</t>
        </is>
      </c>
      <c r="F1" s="28" t="inlineStr">
        <is>
          <t>Tipo</t>
        </is>
      </c>
      <c r="G1" s="28" t="inlineStr">
        <is>
          <t>Formato</t>
        </is>
      </c>
      <c r="H1" s="28" t="inlineStr">
        <is>
          <t>Tema</t>
        </is>
      </c>
      <c r="I1" s="28" t="inlineStr">
        <is>
          <t>Copy sugerido</t>
        </is>
      </c>
      <c r="J1" s="28" t="inlineStr">
        <is>
          <t>Hashtags</t>
        </is>
      </c>
      <c r="K1" s="28" t="inlineStr">
        <is>
          <t>CTA</t>
        </is>
      </c>
      <c r="L1" s="28" t="inlineStr">
        <is>
          <t>Imagen / Prompt o diseño</t>
        </is>
      </c>
      <c r="M1" s="28" t="inlineStr">
        <is>
          <t>Estado</t>
        </is>
      </c>
      <c r="N1" s="28" t="inlineStr">
        <is>
          <t>Notas</t>
        </is>
      </c>
    </row>
    <row r="2" ht="108" customHeight="1">
      <c r="A2" s="29" t="n">
        <v>1</v>
      </c>
      <c r="B2" s="29" t="inlineStr">
        <is>
          <t>Semana 1</t>
        </is>
      </c>
      <c r="C2" s="29" t="inlineStr">
        <is>
          <t>Mié 19 Ago</t>
        </is>
      </c>
      <c r="D2" s="29" t="inlineStr">
        <is>
          <t>Miércoles</t>
        </is>
      </c>
      <c r="E2" s="29" t="inlineStr">
        <is>
          <t>19:00</t>
        </is>
      </c>
      <c r="F2" s="30" t="inlineStr">
        <is>
          <t>Valor</t>
        </is>
      </c>
      <c r="G2" s="29" t="inlineStr">
        <is>
          <t>Post 4:5 (1080×1350)</t>
        </is>
      </c>
      <c r="H2" s="31" t="inlineStr">
        <is>
          <t>Toma aérea — presentación de obra</t>
        </is>
      </c>
      <c r="I2" s="32" t="inlineStr">
        <is>
          <t>Así se ve una obra nuestra desde arriba.
Cada línea que ves ya estaba trazada en plano antes de que llegara la primera revolvedora. Eso es lo que significa nuestro lema: del trazo exacto a la obra terminada.
12 años construyendo en Tepic y la Riviera Nayarit. Más de 200 proyectos entregados.
¿Tienes un terreno y no sabes por dónde empezar? La consulta inicial es sin costo. Escríbenos.</t>
        </is>
      </c>
      <c r="J2" s="32" t="inlineStr">
        <is>
          <t>#Isoval #ArquitecturaTepic #Tepic #Nayarit #RivieraNayarit #ConstrucciónResidencial #ArquitecturaMexicana #DiseñoArquitectónico</t>
        </is>
      </c>
      <c r="K2" s="32" t="inlineStr">
        <is>
          <t>«Escríbenos al 311 161 4155» + link en bio</t>
        </is>
      </c>
      <c r="L2" s="32" t="inlineStr">
        <is>
          <t>MIDJOURNEY (ya generado — toma aérea). Prompt de respaldo:
aerial drone shot of a modern residential construction site in Tepic, Nayarit, Mexico, contemporary two-story house with clean concrete volumes and warm wood accents, tropical vegetation around, golden hour light, long soft shadows, photorealistic architectural photography, shot on 35mm, high detail --ar 4:5 --style raw --v 6
Solo generas, exportas y subes. Cero diseño nuevo.</t>
        </is>
      </c>
      <c r="M2" s="29" t="inlineStr">
        <is>
          <t>Pendiente</t>
        </is>
      </c>
      <c r="N2" s="32" t="inlineStr">
        <is>
          <t>URGENTE — primer post del ciclo. Publicar sin falta el 19.</t>
        </is>
      </c>
    </row>
    <row r="3" ht="108" customHeight="1">
      <c r="A3" s="29" t="n">
        <v>2</v>
      </c>
      <c r="B3" s="29" t="inlineStr">
        <is>
          <t>Semana 1</t>
        </is>
      </c>
      <c r="C3" s="29" t="inlineStr">
        <is>
          <t>Vie 21 Ago</t>
        </is>
      </c>
      <c r="D3" s="29" t="inlineStr">
        <is>
          <t>Viernes</t>
        </is>
      </c>
      <c r="E3" s="29" t="inlineStr">
        <is>
          <t>19:00</t>
        </is>
      </c>
      <c r="F3" s="30" t="inlineStr">
        <is>
          <t>Valor</t>
        </is>
      </c>
      <c r="G3" s="29" t="inlineStr">
        <is>
          <t>Post 4:5 (1080×1350)</t>
        </is>
      </c>
      <c r="H3" s="31" t="inlineStr">
        <is>
          <t>Materiales — cómo se elige para el clima de Nayarit</t>
        </is>
      </c>
      <c r="I3" s="32" t="inlineStr">
        <is>
          <t>No todos los materiales aguantan el clima de Nayarit.
Calor, humedad y sal en el aire si estás cerca de la costa. Un acabado mal elegido se te ampolla en dos temporadas de lluvia.
Lo que nosotros cuidamos:
• Impermeabilización desde losa, no como parche
• Herrajes y perfiles con tratamiento anticorrosivo
• Maderas tratadas o alternativas de exterior
• Ventilación cruzada antes que aire acondicionado
Construir bien aquí no es lo mismo que construir bien en Monterrey. Y por eso importa el equipo local.</t>
        </is>
      </c>
      <c r="J3" s="32" t="inlineStr">
        <is>
          <t>#Isoval #MaterialesDeConstrucción #ArquitecturaTepic #Nayarit #ConstrucciónEnClimaCálido #Tepic #ArquitecturaBioclimática</t>
        </is>
      </c>
      <c r="K3" s="32" t="inlineStr">
        <is>
          <t>«Guarda este post» + «Dudas: 311 161 4155»</t>
        </is>
      </c>
      <c r="L3" s="32" t="inlineStr">
        <is>
          <t>MIDJOURNEY (ya generado — materiales). Prompt de respaldo:
close-up flat lay of architectural material samples on a warm cream surface, polished concrete slab, natural oak wood, matte black steel profile, terracotta tile, warm natural side light, soft shadows, editorial architecture photography, minimal composition, high detail --ar 4:5 --style raw --v 6
Solo generas, exportas y subes.</t>
        </is>
      </c>
      <c r="M3" s="29" t="inlineStr">
        <is>
          <t>Pendiente</t>
        </is>
      </c>
      <c r="N3" s="32" t="inlineStr">
        <is>
          <t>URGENTE — Semana 1. Post educativo, es el que más se guarda.</t>
        </is>
      </c>
    </row>
    <row r="4" ht="108" customHeight="1">
      <c r="A4" s="29" t="n">
        <v>3</v>
      </c>
      <c r="B4" s="29" t="inlineStr">
        <is>
          <t>Semana 1</t>
        </is>
      </c>
      <c r="C4" s="29" t="inlineStr">
        <is>
          <t>Dom 23 Ago</t>
        </is>
      </c>
      <c r="D4" s="29" t="inlineStr">
        <is>
          <t>Domingo</t>
        </is>
      </c>
      <c r="E4" s="29" t="inlineStr">
        <is>
          <t>12:00</t>
        </is>
      </c>
      <c r="F4" s="30" t="inlineStr">
        <is>
          <t>Valor</t>
        </is>
      </c>
      <c r="G4" s="29" t="inlineStr">
        <is>
          <t>Post 4:5 (1080×1350)</t>
        </is>
      </c>
      <c r="H4" s="31" t="inlineStr">
        <is>
          <t>Equipo — quién está detrás de la obra</t>
        </is>
      </c>
      <c r="I4" s="32" t="inlineStr">
        <is>
          <t>Detrás de cada casa hay gente con nombre.
Arquitectos titulados, residentes de obra y un equipo que lleva años trabajando junto. No subcontratamos lo esencial: quien diseña y quien supervisa son de casa.
Por eso podemos comprometernos con un presupuesto ejecutivo cerrado y con reportes de avance reales — porque la información no pasa por tres intermediarios antes de llegarte.
98% de clientes satisfechos no es un número de marketing. Es lo que pasa cuando el equipo no cambia a media obra.</t>
        </is>
      </c>
      <c r="J4" s="32" t="inlineStr">
        <is>
          <t>#Isoval #EquipoIsoval #ArquitectosTepic #Nayarit #SupervisiónDeObra #ConstrucciónResidencial #Tepic</t>
        </is>
      </c>
      <c r="K4" s="32" t="inlineStr">
        <is>
          <t>«Conoce el equipo — agenda tu consulta al 311 161 4155»</t>
        </is>
      </c>
      <c r="L4" s="32" t="inlineStr">
        <is>
          <t>MIDJOURNEY (ya generado — equipo). Prompt de respaldo:
team of Mexican architects and site engineers reviewing blueprints on a construction site table, hard hats, warm daylight, candid documentary photography, natural skin tones, shallow depth of field, authentic and professional, no faces in extreme close-up --ar 4:5 --style raw --v 6
IDEAL: sustituir por foto real del equipo en obra si la tienen. La prueba social real rinde más que la imagen generada.</t>
        </is>
      </c>
      <c r="M4" s="29" t="inlineStr">
        <is>
          <t>Pendiente</t>
        </is>
      </c>
      <c r="N4" s="32" t="inlineStr">
        <is>
          <t>URGENTE — cierra Semana 1. Domingo a mediodía rinde bien.</t>
        </is>
      </c>
    </row>
    <row r="5" ht="108" customHeight="1">
      <c r="A5" s="33" t="n">
        <v>4</v>
      </c>
      <c r="B5" s="33" t="inlineStr">
        <is>
          <t>Semana 2</t>
        </is>
      </c>
      <c r="C5" s="33" t="inlineStr">
        <is>
          <t>Mié 26 Ago</t>
        </is>
      </c>
      <c r="D5" s="33" t="inlineStr">
        <is>
          <t>Miércoles</t>
        </is>
      </c>
      <c r="E5" s="33" t="inlineStr">
        <is>
          <t>19:00</t>
        </is>
      </c>
      <c r="F5" s="30" t="inlineStr">
        <is>
          <t>Valor</t>
        </is>
      </c>
      <c r="G5" s="33" t="inlineStr">
        <is>
          <t>Carrusel 6 láminas 4:5</t>
        </is>
      </c>
      <c r="H5" s="34" t="inlineStr">
        <is>
          <t>RELANZAMIENTO — Carrusel «5 Pasos»</t>
        </is>
      </c>
      <c r="I5" s="35" t="inlineStr">
        <is>
          <t>De la idea a la llave en mano, en 5 pasos.
Este carrusel es el que más nos han pedido que volviéramos a subir. Aquí está otra vez, para quien apenas nos empieza a seguir. →
1. Diagnóstico — visitamos el sitio, revisamos contexto y definimos alcance y presupuesto.
2. Diseño — anteproyecto, planos y renders, ajustados contigo.
3. Planeación — documentación técnica, cronograma y presupuesto ejecutivo cerrado.
4. Construcción — ejecución con supervisión técnica y reportes de avance.
5. Entrega — revisión final, acabados y llave en mano.
Guárdalo. Cuando te toque construir, vas a querer tenerlo a mano.</t>
        </is>
      </c>
      <c r="J5" s="35" t="inlineStr">
        <is>
          <t>#Isoval #ProcesoDeObra #ArquitecturaTepic #CómoConstruir #Nayarit #Tepic #ProyectoArquitectónico #LlaveEnMano</t>
        </is>
      </c>
      <c r="K5" s="35" t="inlineStr">
        <is>
          <t>«Guarda el carrusel» + «Paso 1 sin costo: 311 161 4155»</t>
        </is>
      </c>
      <c r="L5" s="35" t="inlineStr">
        <is>
          <t>REUTILIZAR el carrusel «5 Pasos» que ya existe. Solo actualizar:
• Lámina 1 (portada): nuevo titular «De la idea a la llave en mano»
• Lámina 6 (cierre): CTA con el WhatsApp 311 161 4155
• Revisar que los colores sigan la paleta (hueso #F5F3EE, ink #1B1E1F, teal #2B7D89)
Las láminas 2–5 se quedan igual. Trabajo de 20 minutos.</t>
        </is>
      </c>
      <c r="M5" s="33" t="inlineStr">
        <is>
          <t>Pendiente</t>
        </is>
      </c>
      <c r="N5" s="35" t="inlineStr">
        <is>
          <t>Relanzamiento pedido. Cero diseño desde cero.</t>
        </is>
      </c>
    </row>
    <row r="6" ht="108" customHeight="1">
      <c r="A6" s="33" t="n">
        <v>5</v>
      </c>
      <c r="B6" s="33" t="inlineStr">
        <is>
          <t>Semana 2</t>
        </is>
      </c>
      <c r="C6" s="33" t="inlineStr">
        <is>
          <t>Vie 28 Ago</t>
        </is>
      </c>
      <c r="D6" s="33" t="inlineStr">
        <is>
          <t>Viernes</t>
        </is>
      </c>
      <c r="E6" s="33" t="inlineStr">
        <is>
          <t>19:00</t>
        </is>
      </c>
      <c r="F6" s="30" t="inlineStr">
        <is>
          <t>Valor</t>
        </is>
      </c>
      <c r="G6" s="33" t="inlineStr">
        <is>
          <t>Reel 9:16 (20–35 s)</t>
        </is>
      </c>
      <c r="H6" s="34" t="inlineStr">
        <is>
          <t>¿Cuánto cuesta construir en Tepic?</t>
        </is>
      </c>
      <c r="I6" s="35" t="inlineStr">
        <is>
          <t>La pregunta que más nos hacen: ¿cuánto cuesta construir en Tepic?
Respuesta honesta: depende. Pero te damos rangos reales para que no andes a ciegas.
• Nivel medio en Tepic: $10,000 – $18,000 por m²
• En zona turística (Riviera, Bahía) sube por acabados y logística
• Una casa de 120 m² con diseño: entre 8 y 14 meses
Ese rango es referencia, no cotización. El número real sale del terreno, del alcance y de los acabados que elijas — y ese sí te lo damos por escrito antes de mover un solo bulto de cemento.
La primera consulta es sin costo.</t>
        </is>
      </c>
      <c r="J6" s="35" t="inlineStr">
        <is>
          <t>#Isoval #CuántoCuestaConstruir #PrecioM2 #ConstrucciónTepic #Nayarit #Tepic #ArquitecturaMexicana #ConstruirEnMéxico</t>
        </is>
      </c>
      <c r="K6" s="35" t="inlineStr">
        <is>
          <t>«Te damos tu estimado real — 311 161 4155»</t>
        </is>
      </c>
      <c r="L6" s="35" t="inlineStr">
        <is>
          <t>REEL sencillo. Guion visual:
0–3 s: texto grande sobre fondo hueso — «¿Cuánto cuesta construir en Tepic?»
3–15 s: b-roll de obra (celular sirve) con los rangos sobreimpresos
15–28 s: plano de planos/renders + «el número real sale de TU terreno»
28–35 s: cierre con logo y el WhatsApp
Tipografía en ink #1B1E1F, subrayados en teal #2B7D89.</t>
        </is>
      </c>
      <c r="M6" s="33" t="inlineStr">
        <is>
          <t>Pendiente</t>
        </is>
      </c>
      <c r="N6" s="35" t="inlineStr">
        <is>
          <t>Post de mayor alcance del mes. Es el tema que más se busca.</t>
        </is>
      </c>
    </row>
    <row r="7" ht="108" customHeight="1">
      <c r="A7" s="33" t="n">
        <v>6</v>
      </c>
      <c r="B7" s="33" t="inlineStr">
        <is>
          <t>Semana 2</t>
        </is>
      </c>
      <c r="C7" s="33" t="inlineStr">
        <is>
          <t>Dom 30 Ago</t>
        </is>
      </c>
      <c r="D7" s="33" t="inlineStr">
        <is>
          <t>Domingo</t>
        </is>
      </c>
      <c r="E7" s="33" t="inlineStr">
        <is>
          <t>12:00</t>
        </is>
      </c>
      <c r="F7" s="36" t="inlineStr">
        <is>
          <t>Oferta directa</t>
        </is>
      </c>
      <c r="G7" s="33" t="inlineStr">
        <is>
          <t>Post 4:5 (1080×1350)</t>
        </is>
      </c>
      <c r="H7" s="34" t="inlineStr">
        <is>
          <t>Consulta inicial + visita al sitio, sin costo</t>
        </is>
      </c>
      <c r="I7" s="35" t="inlineStr">
        <is>
          <t>Consulta inicial sin costo. Sin compromiso, sin letras chiquitas.
Qué incluye:
• Visita a tu terreno o a tu espacio
• Revisión de viabilidad técnica
• Definición del alcance real del proyecto
• Un estimado de inversión con números, no con «depende»
No te vamos a pedir que firmes nada ese día. Sales con información para decidir, aunque decidas no construir con nosotros.
Escríbenos al 311 161 4155 y agendamos esta semana.</t>
        </is>
      </c>
      <c r="J7" s="35" t="inlineStr">
        <is>
          <t>#Isoval #ConsultaSinCosto #ArquitecturaTepic #Tepic #Nayarit #ConstruyeTuCasa #AsesoríaArquitectónica</t>
        </is>
      </c>
      <c r="K7" s="35" t="inlineStr">
        <is>
          <t>«Agenda al 311 161 4155» — botón de WhatsApp en el post</t>
        </is>
      </c>
      <c r="L7" s="35" t="inlineStr">
        <is>
          <t>Diseño simple sobre fondo hueso #F5F3EE:
• Titular grande en ink: «Consulta inicial / sin costo»
• Los 4 bullets con palomita en teal #2B7D89
• Franja inferior ink con logo + WhatsApp 311 161 4155
Sin foto o con foto de fondo al 15% de opacidad.</t>
        </is>
      </c>
      <c r="M7" s="33" t="inlineStr">
        <is>
          <t>Pendiente</t>
        </is>
      </c>
      <c r="N7" s="35" t="inlineStr">
        <is>
          <t>OFERTA DIRECTA de la semana. Poner botón/sticker de WhatsApp.</t>
        </is>
      </c>
    </row>
    <row r="8" ht="108" customHeight="1">
      <c r="A8" s="29" t="n">
        <v>7</v>
      </c>
      <c r="B8" s="29" t="inlineStr">
        <is>
          <t>Semana 3</t>
        </is>
      </c>
      <c r="C8" s="29" t="inlineStr">
        <is>
          <t>Mié 2 Sep</t>
        </is>
      </c>
      <c r="D8" s="29" t="inlineStr">
        <is>
          <t>Miércoles</t>
        </is>
      </c>
      <c r="E8" s="29" t="inlineStr">
        <is>
          <t>19:00</t>
        </is>
      </c>
      <c r="F8" s="30" t="inlineStr">
        <is>
          <t>Valor</t>
        </is>
      </c>
      <c r="G8" s="29" t="inlineStr">
        <is>
          <t>Carrusel 3–4 láminas 4:5</t>
        </is>
      </c>
      <c r="H8" s="31" t="inlineStr">
        <is>
          <t>Antes / Después — remodelación</t>
        </is>
      </c>
      <c r="I8" s="32" t="inlineStr">
        <is>
          <t>El mismo espacio. Diez semanas de diferencia. →
Una remodelación bien planeada no es tirar paredes a ver qué sale. Es entender qué se puede tocar, qué es estructural y qué le está robando luz al espacio.
En este caso: se abrió el muro entre cocina y sala, se cambió la dirección de la entrada de luz y se unificó el piso. Nada de la estructura original se comprometió.
Tiempo real: 6 a 10 semanas, que es lo que toma una remodelación de este tamaño cuando el proyecto está bien hecho antes de empezar.
Desliza para ver el antes.</t>
        </is>
      </c>
      <c r="J8" s="32" t="inlineStr">
        <is>
          <t>#Isoval #AntesYDespués #Remodelación #ArquitecturaTepic #Tepic #Nayarit #DiseñoDeInteriores #RemodelaciónDeCasa</t>
        </is>
      </c>
      <c r="K8" s="32" t="inlineStr">
        <is>
          <t>«¿Tu casa necesita esto? 311 161 4155»</t>
        </is>
      </c>
      <c r="L8" s="32" t="inlineStr">
        <is>
          <t>USAR FOTOS REALES de un proyecto entregado (es prueba social, no sirve generada).
• Lámina 1: DESPUÉS (la foto más fuerte)
• Lámina 2: ANTES
• Lámina 3: detalle del cambio (unión, luz, acabado)
• Lámina 4 (opcional): CTA en fondo ink
Etiquetas «ANTES» / «DESPUÉS» en teal #2B7D89, esquina superior.</t>
        </is>
      </c>
      <c r="M8" s="29" t="inlineStr">
        <is>
          <t>Pendiente</t>
        </is>
      </c>
      <c r="N8" s="32" t="inlineStr">
        <is>
          <t>Si no hay fotos de antes, usar un proyecto solo con después y cambiar el titular.</t>
        </is>
      </c>
    </row>
    <row r="9" ht="108" customHeight="1">
      <c r="A9" s="29" t="n">
        <v>8</v>
      </c>
      <c r="B9" s="29" t="inlineStr">
        <is>
          <t>Semana 3</t>
        </is>
      </c>
      <c r="C9" s="29" t="inlineStr">
        <is>
          <t>Vie 4 Sep</t>
        </is>
      </c>
      <c r="D9" s="29" t="inlineStr">
        <is>
          <t>Viernes</t>
        </is>
      </c>
      <c r="E9" s="29" t="inlineStr">
        <is>
          <t>19:00</t>
        </is>
      </c>
      <c r="F9" s="30" t="inlineStr">
        <is>
          <t>Valor</t>
        </is>
      </c>
      <c r="G9" s="29" t="inlineStr">
        <is>
          <t>Post 4:5 (1080×1350)</t>
        </is>
      </c>
      <c r="H9" s="31" t="inlineStr">
        <is>
          <t>Qué es un presupuesto ejecutivo cerrado</t>
        </is>
      </c>
      <c r="I9" s="32" t="inlineStr">
        <is>
          <t>«Se me disparó el presupuesto» es la frase más común en obra. Y casi siempre se pudo evitar.
Presupuesto ejecutivo cerrado significa: el costo se define ANTES de arrancar, por escrito, con las cantidades y los precios unitarios a la vista.
Ese número solo se mueve si TÚ pides un cambio fuera del alcance acordado — y ese cambio se cotiza y se autoriza antes de ejecutarse. Nunca aparece al final como sorpresa.
Si te están cotizando «aproximado» y sin desglose, pregunta por qué. Un presupuesto que no se puede cerrar es un presupuesto que no se estudió.</t>
        </is>
      </c>
      <c r="J9" s="32" t="inlineStr">
        <is>
          <t>#Isoval #PresupuestoDeObra #ConstrucciónTransparente #ArquitecturaTepic #Tepic #Nayarit #SinSorpresas</t>
        </is>
      </c>
      <c r="K9" s="32" t="inlineStr">
        <is>
          <t>«Pide tu presupuesto cerrado — 311 161 4155»</t>
        </is>
      </c>
      <c r="L9" s="32" t="inlineStr">
        <is>
          <t>Post de texto con jerarquía fuerte:
• Fondo ink #1B1E1F
• Titular en hueso #F5F3EE: «Presupuesto / ejecutivo / cerrado»
• Debajo, en teal #2B7D89: «El costo se define antes, no después.»
• Logo abajo a la izquierda
Cero foto. Este contrasta con el feed y frena el scroll.</t>
        </is>
      </c>
      <c r="M9" s="29" t="inlineStr">
        <is>
          <t>Pendiente</t>
        </is>
      </c>
      <c r="N9" s="32" t="inlineStr">
        <is>
          <t>Ataca la objeción #1 del cliente. Prepara la oferta del domingo.</t>
        </is>
      </c>
    </row>
    <row r="10" ht="108" customHeight="1">
      <c r="A10" s="29" t="n">
        <v>9</v>
      </c>
      <c r="B10" s="29" t="inlineStr">
        <is>
          <t>Semana 3</t>
        </is>
      </c>
      <c r="C10" s="29" t="inlineStr">
        <is>
          <t>Dom 6 Sep</t>
        </is>
      </c>
      <c r="D10" s="29" t="inlineStr">
        <is>
          <t>Domingo</t>
        </is>
      </c>
      <c r="E10" s="29" t="inlineStr">
        <is>
          <t>12:00</t>
        </is>
      </c>
      <c r="F10" s="36" t="inlineStr">
        <is>
          <t>Oferta directa</t>
        </is>
      </c>
      <c r="G10" s="29" t="inlineStr">
        <is>
          <t>Post 4:5 (1080×1350)</t>
        </is>
      </c>
      <c r="H10" s="31" t="inlineStr">
        <is>
          <t>Agenda de obra — arranques de septiembre</t>
        </is>
      </c>
      <c r="I10" s="32" t="inlineStr">
        <is>
          <t>Estamos cerrando la agenda de arranques de septiembre.
Trabajamos con un número limitado de obras simultáneas a propósito: es la única forma de que el mismo equipo esté en todas y de que la supervisión sea real.
Si tu proyecto arranca este año, este es el momento de sentarnos. Entre la consulta, el anteproyecto y la documentación técnica se van semanas — no días.
Escríbenos al 311 161 4155 con tres datos:
1. Diseño, construcción o ambos
2. Dónde está el terreno o el espacio
3. m² aproximados, si los sabes
Con eso te decimos de entrada si entras en agenda.</t>
        </is>
      </c>
      <c r="J10" s="32" t="inlineStr">
        <is>
          <t>#Isoval #ArquitecturaTepic #ConstruyeTuCasa #Tepic #Nayarit #RivieraNayarit #ProyectoResidencial</t>
        </is>
      </c>
      <c r="K10" s="32" t="inlineStr">
        <is>
          <t>«Escríbenos al 311 161 4155» + sticker de WhatsApp</t>
        </is>
      </c>
      <c r="L10" s="32" t="inlineStr">
        <is>
          <t>Diseño tipo «agenda»:
• Fondo hueso #F5F3EE con una cuadrícula sutil de calendario
• Titular ink: «Agenda de obra / Septiembre»
• Sello diagonal en teal #2B7D89: «Cupo limitado»
• Franja inferior con WhatsApp 311 161 4155
Escasez real: solo úsala si de verdad hay cupo limitado.</t>
        </is>
      </c>
      <c r="M10" s="29" t="inlineStr">
        <is>
          <t>Pendiente</t>
        </is>
      </c>
      <c r="N10" s="32" t="inlineStr">
        <is>
          <t>OFERTA DIRECTA. Los 3 datos que se piden son los que califican al prospecto — llegan listos al WhatsApp.</t>
        </is>
      </c>
    </row>
    <row r="11" ht="108" customHeight="1">
      <c r="A11" s="33" t="n">
        <v>10</v>
      </c>
      <c r="B11" s="33" t="inlineStr">
        <is>
          <t>Semana 4</t>
        </is>
      </c>
      <c r="C11" s="33" t="inlineStr">
        <is>
          <t>Lun 7 Sep</t>
        </is>
      </c>
      <c r="D11" s="33" t="inlineStr">
        <is>
          <t>Lunes</t>
        </is>
      </c>
      <c r="E11" s="33" t="inlineStr">
        <is>
          <t>19:00</t>
        </is>
      </c>
      <c r="F11" s="30" t="inlineStr">
        <is>
          <t>Valor</t>
        </is>
      </c>
      <c r="G11" s="33" t="inlineStr">
        <is>
          <t>Post 4:5 o Reel 9:16</t>
        </is>
      </c>
      <c r="H11" s="34" t="inlineStr">
        <is>
          <t>Prueba social — testimonio de cliente</t>
        </is>
      </c>
      <c r="I11" s="35" t="inlineStr">
        <is>
          <t>«Lo que más valoramos fue no tener que estar encima.»
Ese es el comentario que más se repite cuando entregamos.
Porque construir tu casa no debería ser un segundo trabajo. Tú tomas las decisiones importantes; nosotros nos encargamos de que la obra avance, de que los reportes lleguen y de que los números cuadren.
200+ proyectos entregados. 98% de clientes satisfechos. Y una buena parte de lo que hacemos hoy viene de referidos de gente a la que ya le construimos.
Gracias a quienes nos dejaron construir su lugar. 🙏</t>
        </is>
      </c>
      <c r="J11" s="35" t="inlineStr">
        <is>
          <t>#Isoval #Testimonio #ClientesSatisfechos #ArquitecturaTepic #Tepic #Nayarit #ConstrucciónResidencial</t>
        </is>
      </c>
      <c r="K11" s="35" t="inlineStr">
        <is>
          <t>«¿Listo para el tuyo? 311 161 4155»</t>
        </is>
      </c>
      <c r="L11" s="35" t="inlineStr">
        <is>
          <t>Preferido: FOTO REAL de entrega o del proyecto terminado, con la cita sobreimpresa en hueso sobre una franja ink semitransparente.
Alternativa si no hay foto: post de cita — fondo hueso, comillas grandes en teal #2B7D89, texto en ink, crédito debajo («Familia R., Tepic» o similar).
Pedir autorización al cliente antes de nombrarlo.</t>
        </is>
      </c>
      <c r="M11" s="33" t="inlineStr">
        <is>
          <t>Pendiente</t>
        </is>
      </c>
      <c r="N11" s="35" t="inlineStr">
        <is>
          <t>Si consiguen un video de 15 s del cliente hablando, va como Reel y rinde el doble.</t>
        </is>
      </c>
    </row>
    <row r="12" ht="108" customHeight="1">
      <c r="A12" s="33" t="n">
        <v>11</v>
      </c>
      <c r="B12" s="33" t="inlineStr">
        <is>
          <t>Semana 4</t>
        </is>
      </c>
      <c r="C12" s="33" t="inlineStr">
        <is>
          <t>Mié 9 Sep</t>
        </is>
      </c>
      <c r="D12" s="33" t="inlineStr">
        <is>
          <t>Miércoles</t>
        </is>
      </c>
      <c r="E12" s="33" t="inlineStr">
        <is>
          <t>19:00</t>
        </is>
      </c>
      <c r="F12" s="36" t="inlineStr">
        <is>
          <t>Oferta directa</t>
        </is>
      </c>
      <c r="G12" s="33" t="inlineStr">
        <is>
          <t>Post 4:5 (1080×1350)</t>
        </is>
      </c>
      <c r="H12" s="34" t="inlineStr">
        <is>
          <t>Cierre de ciclo — última llamada de agenda</t>
        </is>
      </c>
      <c r="I12" s="35" t="inlineStr">
        <is>
          <t>Última llamada para arrancar proyecto este año.
Si quieres estar construyendo antes de que se acabe el año, la conversación tiene que empezar ahora. Después de esta fecha, los proyectos nuevos ya entran a calendario del próximo ciclo.
Recuerda lo que incluye arrancar con nosotros:
• Consulta inicial y visita al sitio sin costo
• Presupuesto ejecutivo cerrado por escrito
• Un solo equipo responsable de diseño y construcción
• Reportes de avance durante toda la obra
Del trazo exacto a la obra terminada.
Escríbenos al 311 161 4155.</t>
        </is>
      </c>
      <c r="J12" s="35" t="inlineStr">
        <is>
          <t>#Isoval #ArquitecturaTepic #ConstruyeTuCasa #Tepic #Nayarit #RivieraNayarit #LlaveEnMano #ProyectoArquitectónico</t>
        </is>
      </c>
      <c r="K12" s="35" t="inlineStr">
        <is>
          <t>«Escríbenos al 311 161 4155» + botón de WhatsApp</t>
        </is>
      </c>
      <c r="L12" s="35" t="inlineStr">
        <is>
          <t>Cierre fuerte, alta contraste:
• Fondo ink #1B1E1F a página completa
• Titular en hueso: «Última llamada / para arrancar / este año»
• Los 4 bullets en hueso con viñetas teal #2B7D89
• Barra inferior teal con el WhatsApp en blanco
Reutiliza la retícula del post #8 para mantener consistencia.</t>
        </is>
      </c>
      <c r="M12" s="33" t="inlineStr">
        <is>
          <t>Pendiente</t>
        </is>
      </c>
      <c r="N12" s="35" t="inlineStr">
        <is>
          <t>OFERTA DIRECTA de cierre. Si funciona, este formato se repite el siguiente ciclo.</t>
        </is>
      </c>
    </row>
  </sheetData>
  <autoFilter ref="A1:N12"/>
  <conditionalFormatting sqref="M2:M12">
    <cfRule type="cellIs" priority="1" operator="equal" dxfId="0">
      <formula>"Pendiente"</formula>
    </cfRule>
    <cfRule type="cellIs" priority="2" operator="equal" dxfId="1">
      <formula>"Programado"</formula>
    </cfRule>
    <cfRule type="cellIs" priority="3" operator="equal" dxfId="2">
      <formula>"Publicado"</formula>
    </cfRule>
  </conditionalFormatting>
  <dataValidations count="1">
    <dataValidation sqref="M2:M12" showDropDown="0" showInputMessage="0" showErrorMessage="0" allowBlank="0" errorTitle="Valor no válido" error="Elige Pendiente, Programado o Publicado." promptTitle="Estado" prompt="Marca en qué va este post." type="list">
      <formula1>"Pendiente,Programado,Publicado"</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2B7D89"/>
    <outlinePr summaryBelow="1" summaryRight="1"/>
    <pageSetUpPr fitToPage="1"/>
  </sheetPr>
  <dimension ref="A1:H13"/>
  <sheetViews>
    <sheetView zoomScale="90" workbookViewId="0">
      <pane ySplit="1" topLeftCell="A2" activePane="bottomLeft" state="frozen"/>
      <selection pane="bottomLeft" activeCell="A1" sqref="A1"/>
    </sheetView>
  </sheetViews>
  <sheetFormatPr baseColWidth="8" defaultRowHeight="15"/>
  <cols>
    <col width="5" customWidth="1" min="1" max="1"/>
    <col width="20" customWidth="1" min="2" max="2"/>
    <col width="18" customWidth="1" min="3" max="3"/>
    <col width="30" customWidth="1" min="4" max="4"/>
    <col width="56" customWidth="1" min="5" max="5"/>
    <col width="40" customWidth="1" min="6" max="6"/>
    <col width="26" customWidth="1" min="7" max="7"/>
    <col width="26" customWidth="1" min="8" max="8"/>
  </cols>
  <sheetData>
    <row r="1" ht="32" customHeight="1">
      <c r="A1" s="28" t="inlineStr">
        <is>
          <t>#</t>
        </is>
      </c>
      <c r="B1" s="28" t="inlineStr">
        <is>
          <t>Cuándo</t>
        </is>
      </c>
      <c r="C1" s="28" t="inlineStr">
        <is>
          <t>Tipo</t>
        </is>
      </c>
      <c r="D1" s="28" t="inlineStr">
        <is>
          <t>Idea</t>
        </is>
      </c>
      <c r="E1" s="28" t="inlineStr">
        <is>
          <t>Cómo se arma</t>
        </is>
      </c>
      <c r="F1" s="28" t="inlineStr">
        <is>
          <t>Texto en pantalla</t>
        </is>
      </c>
      <c r="G1" s="28" t="inlineStr">
        <is>
          <t>Sticker / interacción</t>
        </is>
      </c>
      <c r="H1" s="28" t="inlineStr">
        <is>
          <t>CTA</t>
        </is>
      </c>
    </row>
    <row r="2" ht="74" customHeight="1">
      <c r="A2" s="29" t="n">
        <v>1</v>
      </c>
      <c r="B2" s="29" t="inlineStr">
        <is>
          <t>Mié 19 Ago</t>
        </is>
      </c>
      <c r="C2" s="29" t="inlineStr">
        <is>
          <t>Apoyo a post</t>
        </is>
      </c>
      <c r="D2" s="31" t="inlineStr">
        <is>
          <t>«Nuevo post» con la aérea</t>
        </is>
      </c>
      <c r="E2" s="32" t="inlineStr">
        <is>
          <t>Captura del post #1, fondo hueso, sticker de flecha apuntando al post.</t>
        </is>
      </c>
      <c r="F2" s="32" t="inlineStr">
        <is>
          <t>Nuevo en el feed 👆</t>
        </is>
      </c>
      <c r="G2" s="32" t="inlineStr">
        <is>
          <t>Sticker de enlace al post</t>
        </is>
      </c>
      <c r="H2" s="32" t="inlineStr">
        <is>
          <t>«Ver post»</t>
        </is>
      </c>
    </row>
    <row r="3" ht="74" customHeight="1">
      <c r="A3" s="33" t="n">
        <v>2</v>
      </c>
      <c r="B3" s="33" t="inlineStr">
        <is>
          <t>Jue 20 Ago</t>
        </is>
      </c>
      <c r="C3" s="33" t="inlineStr">
        <is>
          <t>Detrás de cámara</t>
        </is>
      </c>
      <c r="D3" s="34" t="inlineStr">
        <is>
          <t>Un día en obra, 3 clips</t>
        </is>
      </c>
      <c r="E3" s="35" t="inlineStr">
        <is>
          <t>3 clips verticales de 5 s grabados con celular: llegada a obra, colado o trazo, y cierre del día. Sin edición, se sube tal cual.</t>
        </is>
      </c>
      <c r="F3" s="35" t="inlineStr">
        <is>
          <t>7:10 am · Obra Tepic</t>
        </is>
      </c>
      <c r="G3" s="35" t="inlineStr">
        <is>
          <t>Encuesta: «¿Te gusta ver obra? Sí / Más»</t>
        </is>
      </c>
      <c r="H3" s="35" t="inlineStr">
        <is>
          <t>«Desliza»</t>
        </is>
      </c>
    </row>
    <row r="4" ht="74" customHeight="1">
      <c r="A4" s="29" t="n">
        <v>3</v>
      </c>
      <c r="B4" s="29" t="inlineStr">
        <is>
          <t>Vie 21 Ago</t>
        </is>
      </c>
      <c r="C4" s="29" t="inlineStr">
        <is>
          <t>Educativa rápida</t>
        </is>
      </c>
      <c r="D4" s="31" t="inlineStr">
        <is>
          <t>«Este material sí / este no»</t>
        </is>
      </c>
      <c r="E4" s="32" t="inlineStr">
        <is>
          <t>Dos fotos de material una encima de otra, palomita verde y tache teal.</t>
        </is>
      </c>
      <c r="F4" s="32" t="inlineStr">
        <is>
          <t>Para clima de Nayarit ⬇️</t>
        </is>
      </c>
      <c r="G4" s="32" t="inlineStr">
        <is>
          <t>Cuestionario de 2 opciones</t>
        </is>
      </c>
      <c r="H4" s="32" t="inlineStr">
        <is>
          <t>«Adivina»</t>
        </is>
      </c>
    </row>
    <row r="5" ht="74" customHeight="1">
      <c r="A5" s="33" t="n">
        <v>4</v>
      </c>
      <c r="B5" s="33" t="inlineStr">
        <is>
          <t>Dom 23 Ago</t>
        </is>
      </c>
      <c r="C5" s="33" t="inlineStr">
        <is>
          <t>Equipo</t>
        </is>
      </c>
      <c r="D5" s="34" t="inlineStr">
        <is>
          <t>Presenta a una persona del equipo</t>
        </is>
      </c>
      <c r="E5" s="35" t="inlineStr">
        <is>
          <t>Foto de la persona en obra + su nombre y puesto. Una story por semana con alguien distinto.</t>
        </is>
      </c>
      <c r="F5" s="35" t="inlineStr">
        <is>
          <t>Él es [nombre], residente de obra</t>
        </is>
      </c>
      <c r="G5" s="35" t="inlineStr">
        <is>
          <t>Caja de preguntas: «Pregúntale lo que sea de obra»</t>
        </is>
      </c>
      <c r="H5" s="35" t="inlineStr">
        <is>
          <t>«Pregunta»</t>
        </is>
      </c>
    </row>
    <row r="6" ht="74" customHeight="1">
      <c r="A6" s="29" t="n">
        <v>5</v>
      </c>
      <c r="B6" s="29" t="inlineStr">
        <is>
          <t>Lun 24 Ago</t>
        </is>
      </c>
      <c r="C6" s="29" t="inlineStr">
        <is>
          <t>Caja de preguntas</t>
        </is>
      </c>
      <c r="D6" s="31" t="inlineStr">
        <is>
          <t>«Pregúntale al arquitecto»</t>
        </is>
      </c>
      <c r="E6" s="32" t="inlineStr">
        <is>
          <t>Fondo ink, caja de preguntas centrada. Las respuestas se contestan en stories durante la semana — cada respuesta es contenido.</t>
        </is>
      </c>
      <c r="F6" s="32" t="inlineStr">
        <is>
          <t>Pregúntale al arquitecto 🏗️</t>
        </is>
      </c>
      <c r="G6" s="32" t="inlineStr">
        <is>
          <t>Caja de preguntas</t>
        </is>
      </c>
      <c r="H6" s="32" t="inlineStr">
        <is>
          <t>«Manda tu duda»</t>
        </is>
      </c>
    </row>
    <row r="7" ht="74" customHeight="1">
      <c r="A7" s="33" t="n">
        <v>6</v>
      </c>
      <c r="B7" s="33" t="inlineStr">
        <is>
          <t>Mié 26 Ago</t>
        </is>
      </c>
      <c r="C7" s="33" t="inlineStr">
        <is>
          <t>Apoyo a post</t>
        </is>
      </c>
      <c r="D7" s="34" t="inlineStr">
        <is>
          <t>Teaser del carrusel «5 Pasos»</t>
        </is>
      </c>
      <c r="E7" s="35" t="inlineStr">
        <is>
          <t>Solo la lámina 1 del carrusel + flecha. Se sube 1 hora después del post.</t>
        </is>
      </c>
      <c r="F7" s="35" t="inlineStr">
        <is>
          <t>Los 5 pasos, otra vez 👆</t>
        </is>
      </c>
      <c r="G7" s="35" t="inlineStr">
        <is>
          <t>Enlace al post</t>
        </is>
      </c>
      <c r="H7" s="35" t="inlineStr">
        <is>
          <t>«Guárdalo»</t>
        </is>
      </c>
    </row>
    <row r="8" ht="74" customHeight="1">
      <c r="A8" s="29" t="n">
        <v>7</v>
      </c>
      <c r="B8" s="29" t="inlineStr">
        <is>
          <t>Vie 28 Ago</t>
        </is>
      </c>
      <c r="C8" s="29" t="inlineStr">
        <is>
          <t>Encuesta</t>
        </is>
      </c>
      <c r="D8" s="31" t="inlineStr">
        <is>
          <t>«¿Cuánto crees que cuesta el m²?»</t>
        </is>
      </c>
      <c r="E8" s="32" t="inlineStr">
        <is>
          <t>Encuesta con 3 rangos. Al día siguiente se sube la respuesta con el rango real.</t>
        </is>
      </c>
      <c r="F8" s="32" t="inlineStr">
        <is>
          <t>¿Cuánto crees que cuesta construir en Tepic?</t>
        </is>
      </c>
      <c r="G8" s="32" t="inlineStr">
        <is>
          <t>Encuesta de 3 opciones</t>
        </is>
      </c>
      <c r="H8" s="32" t="inlineStr">
        <is>
          <t>«Vota»</t>
        </is>
      </c>
    </row>
    <row r="9" ht="74" customHeight="1">
      <c r="A9" s="33" t="n">
        <v>8</v>
      </c>
      <c r="B9" s="33" t="inlineStr">
        <is>
          <t>Dom 30 Ago</t>
        </is>
      </c>
      <c r="C9" s="33" t="inlineStr">
        <is>
          <t>Oferta</t>
        </is>
      </c>
      <c r="D9" s="34" t="inlineStr">
        <is>
          <t>Consulta sin costo — 3 stories seguidas</t>
        </is>
      </c>
      <c r="E9" s="35" t="inlineStr">
        <is>
          <t>Story 1: el problema («no sé por dónde empezar»). Story 2: qué incluye la consulta. Story 3: sticker de WhatsApp.</t>
        </is>
      </c>
      <c r="F9" s="35" t="inlineStr">
        <is>
          <t>Consulta inicial sin costo</t>
        </is>
      </c>
      <c r="G9" s="35" t="inlineStr">
        <is>
          <t>Sticker de enlace a WhatsApp</t>
        </is>
      </c>
      <c r="H9" s="35" t="inlineStr">
        <is>
          <t>«Escríbenos» — 311 161 4155</t>
        </is>
      </c>
    </row>
    <row r="10" ht="74" customHeight="1">
      <c r="A10" s="29" t="n">
        <v>9</v>
      </c>
      <c r="B10" s="29" t="inlineStr">
        <is>
          <t>Mar 1 Sep</t>
        </is>
      </c>
      <c r="C10" s="29" t="inlineStr">
        <is>
          <t>Antes / Después</t>
        </is>
      </c>
      <c r="D10" s="31" t="inlineStr">
        <is>
          <t>Barra deslizable de antes y después</t>
        </is>
      </c>
      <c r="E10" s="32" t="inlineStr">
        <is>
          <t>Dos fotos con el sticker de deslizador encima, o transición de tap.</t>
        </is>
      </c>
      <c r="F10" s="32" t="inlineStr">
        <is>
          <t>Desliza →</t>
        </is>
      </c>
      <c r="G10" s="32" t="inlineStr">
        <is>
          <t>Deslizador de emoji</t>
        </is>
      </c>
      <c r="H10" s="32" t="inlineStr">
        <is>
          <t>«Desliza»</t>
        </is>
      </c>
    </row>
    <row r="11" ht="74" customHeight="1">
      <c r="A11" s="33" t="n">
        <v>10</v>
      </c>
      <c r="B11" s="33" t="inlineStr">
        <is>
          <t>Vie 4 Sep</t>
        </is>
      </c>
      <c r="C11" s="33" t="inlineStr">
        <is>
          <t>Educativa rápida</t>
        </is>
      </c>
      <c r="D11" s="34" t="inlineStr">
        <is>
          <t>«3 señales de que tu presupuesto va a crecer»</t>
        </is>
      </c>
      <c r="E11" s="35" t="inlineStr">
        <is>
          <t>3 stories de texto sobre fondo ink, una señal por story, tipografía grande.</t>
        </is>
      </c>
      <c r="F11" s="35" t="inlineStr">
        <is>
          <t>Señal 1: te cotizaron sin desglose</t>
        </is>
      </c>
      <c r="G11" s="35" t="inlineStr">
        <is>
          <t>Encuesta: «¿Te ha pasado?»</t>
        </is>
      </c>
      <c r="H11" s="35" t="inlineStr">
        <is>
          <t>«Sigue»</t>
        </is>
      </c>
    </row>
    <row r="12" ht="74" customHeight="1">
      <c r="A12" s="29" t="n">
        <v>11</v>
      </c>
      <c r="B12" s="29" t="inlineStr">
        <is>
          <t>Dom 6 Sep</t>
        </is>
      </c>
      <c r="C12" s="29" t="inlineStr">
        <is>
          <t>Oferta</t>
        </is>
      </c>
      <c r="D12" s="31" t="inlineStr">
        <is>
          <t>Cupo de agenda de septiembre</t>
        </is>
      </c>
      <c r="E12" s="32" t="inlineStr">
        <is>
          <t>Fondo hueso con sello teal «Cupo limitado» + los 3 datos que hay que mandar.</t>
        </is>
      </c>
      <c r="F12" s="32" t="inlineStr">
        <is>
          <t>Agenda de septiembre</t>
        </is>
      </c>
      <c r="G12" s="32" t="inlineStr">
        <is>
          <t>Sticker de WhatsApp</t>
        </is>
      </c>
      <c r="H12" s="32" t="inlineStr">
        <is>
          <t>«Escríbenos» — 311 161 4155</t>
        </is>
      </c>
    </row>
    <row r="13" ht="74" customHeight="1">
      <c r="A13" s="33" t="n">
        <v>12</v>
      </c>
      <c r="B13" s="33" t="inlineStr">
        <is>
          <t>Mié 9 Sep</t>
        </is>
      </c>
      <c r="C13" s="33" t="inlineStr">
        <is>
          <t>Cierre</t>
        </is>
      </c>
      <c r="D13" s="34" t="inlineStr">
        <is>
          <t>Recap del ciclo + última llamada</t>
        </is>
      </c>
      <c r="E13" s="35" t="inlineStr">
        <is>
          <t>Collage de los mejores 3 posts del periodo + story final con el CTA.</t>
        </is>
      </c>
      <c r="F13" s="35" t="inlineStr">
        <is>
          <t>Última llamada para arrancar este año</t>
        </is>
      </c>
      <c r="G13" s="35" t="inlineStr">
        <is>
          <t>Sticker de WhatsApp</t>
        </is>
      </c>
      <c r="H13" s="35" t="inlineStr">
        <is>
          <t>«Escríbenos» — 311 161 4155</t>
        </is>
      </c>
    </row>
  </sheetData>
  <autoFilter ref="A1:H13"/>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2026-08-18T18:41:29Z</dcterms:created>
  <dcterms:modified xmlns:dcterms="http://purl.org/dc/terms/" xmlns:xsi="http://www.w3.org/2001/XMLSchema-instance" xsi:type="dcterms:W3CDTF">2026-08-18T18:41:29Z</dcterms:modified>
</cp:coreProperties>
</file>